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1" hidePivotFieldList="1"/>
  <bookViews>
    <workbookView xWindow="0" yWindow="504" windowWidth="23256" windowHeight="13176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7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calcChain.xml><?xml version="1.0" encoding="utf-8"?>
<calcChain xmlns="http://schemas.openxmlformats.org/spreadsheetml/2006/main">
  <c r="C22" i="19" l="1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</calcChain>
</file>

<file path=xl/sharedStrings.xml><?xml version="1.0" encoding="utf-8"?>
<sst xmlns="http://schemas.openxmlformats.org/spreadsheetml/2006/main" count="409" uniqueCount="186">
  <si>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</si>
  <si>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</si>
  <si>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</si>
  <si>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</si>
  <si>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</si>
  <si>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</si>
  <si>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</si>
  <si>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</si>
  <si>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</si>
  <si>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</si>
  <si>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</si>
  <si>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</si>
  <si>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</si>
  <si>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</si>
  <si>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</si>
  <si>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</si>
  <si>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</si>
  <si>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</si>
  <si>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</si>
  <si>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</si>
  <si>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</si>
  <si>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</si>
  <si>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</si>
  <si>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</si>
  <si>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</si>
  <si>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</si>
  <si>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</si>
  <si>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</si>
  <si>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</si>
  <si>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</si>
  <si>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</si>
  <si>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</si>
  <si>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</si>
  <si>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</si>
  <si>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</si>
  <si>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</si>
  <si>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</si>
  <si>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</si>
  <si>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</si>
  <si>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</si>
  <si>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</si>
  <si>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</si>
  <si>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</si>
  <si>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</si>
  <si>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</si>
  <si>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</si>
  <si>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</si>
  <si>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</si>
  <si>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</si>
  <si>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</si>
  <si>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</si>
  <si>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</si>
  <si>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</si>
  <si>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</si>
  <si>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</si>
  <si>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</si>
  <si>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</si>
  <si>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</si>
  <si>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</si>
  <si>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</si>
  <si>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</si>
  <si>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</si>
  <si>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</si>
  <si>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</si>
  <si>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</si>
  <si>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</si>
  <si>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</si>
  <si>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</si>
  <si>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</si>
  <si>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</si>
  <si>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</si>
  <si>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</si>
  <si>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</si>
  <si>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</si>
  <si>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</si>
  <si>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</si>
  <si>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</si>
  <si>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</si>
  <si>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</si>
  <si>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</si>
  <si>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</si>
  <si>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</si>
  <si>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</si>
  <si>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</si>
  <si>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</si>
  <si>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</si>
  <si>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</si>
  <si>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</si>
  <si>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</si>
  <si>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</si>
  <si>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</si>
  <si>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</si>
  <si>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</si>
  <si>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</si>
  <si>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</si>
  <si>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</si>
  <si>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</si>
  <si>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</si>
  <si>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</si>
  <si>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</si>
  <si>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</si>
  <si>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</si>
  <si>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</si>
  <si>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</si>
  <si>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</si>
  <si>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</si>
  <si>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</si>
  <si>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</si>
  <si>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</si>
  <si>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</si>
  <si>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</si>
  <si>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</si>
  <si>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</si>
  <si>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</si>
  <si>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</si>
  <si>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</si>
  <si>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</si>
  <si>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</si>
  <si>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</si>
  <si>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</si>
  <si>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</si>
  <si>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</si>
  <si>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</si>
  <si>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</si>
  <si>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</si>
  <si>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</si>
  <si>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</si>
  <si>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</si>
  <si>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</si>
  <si>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</si>
  <si>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</si>
  <si>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</si>
  <si>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</si>
  <si>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</si>
  <si>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</si>
  <si>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</si>
  <si>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</si>
  <si>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</si>
  <si>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</si>
  <si>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</si>
  <si>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</si>
  <si>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</si>
  <si>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</si>
  <si>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</si>
  <si>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</si>
  <si>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</si>
  <si>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</si>
  <si>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</si>
  <si>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</si>
  <si>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</si>
  <si>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</si>
  <si>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</si>
  <si>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</si>
  <si>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</si>
  <si>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</si>
  <si>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</si>
  <si>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</si>
  <si>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</si>
  <si>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</si>
  <si>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</si>
  <si>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</si>
  <si>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</si>
  <si>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</si>
  <si>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</si>
  <si>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</si>
  <si>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</si>
  <si>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</si>
  <si>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</si>
  <si>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</si>
  <si>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</si>
  <si>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</si>
  <si>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</si>
  <si>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</si>
  <si>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</si>
  <si>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</si>
  <si>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</si>
  <si>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</si>
  <si>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SUMIFS(H2:H40, H2:H40, "&gt;"&amp;20)</t>
  </si>
  <si>
    <t>Go to the "Data" tab in the Excel ribbon.</t>
  </si>
  <si>
    <t>Click on "Text to Columns."</t>
  </si>
  <si>
    <t>In the Text to Columns Wizard, choose "Delimited" and click "Next."</t>
  </si>
  <si>
    <t xml:space="preserve">Select the cell or range containing the data </t>
  </si>
  <si>
    <t>Choose the delimiter that separates your data.Select "Other" and enter the hyphen (-) in the box. Click "Next."</t>
  </si>
  <si>
    <t>Choose the format for each column. Click "Finish."</t>
  </si>
  <si>
    <t>SUMIFS(C12:C21, C12:C21, "&lt;&gt;#N/A") + SUMIFS(C12:C21, C12:C21, NA(), C12:C21, "&gt;0") * 20</t>
  </si>
  <si>
    <t>This formula sums the sales where the value is not an #N/A and adds the sum of #N/A values multiplied by 20.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</si>
</sst>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yy\-mm\-dd;@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Times New Roman"/>
      <charset val="204"/>
    </font>
    <font>
      <sz val="10"/>
      <color rgb="FFD1D5DB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2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</cellStyleXfs>
  <cellXfs count="50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8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0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8" xfId="0" applyFont="1" applyBorder="1"/>
    <xf numFmtId="0" fontId="9" fillId="0" borderId="6" xfId="0" applyFont="1" applyBorder="1"/>
    <xf numFmtId="0" fontId="9" fillId="0" borderId="8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9" fillId="0" borderId="3" xfId="0" applyFont="1" applyBorder="1"/>
    <xf numFmtId="0" fontId="9" fillId="0" borderId="5" xfId="0" applyFont="1" applyBorder="1"/>
    <xf numFmtId="0" fontId="4" fillId="0" borderId="0" xfId="12" applyFont="1"/>
    <xf numFmtId="166" fontId="4" fillId="0" borderId="0" xfId="0" applyNumberFormat="1" applyFont="1"/>
    <xf numFmtId="0" fontId="4" fillId="0" borderId="0" xfId="0" applyFont="1" applyAlignment="1">
      <alignment wrapText="1"/>
    </xf>
    <xf numFmtId="0" fontId="20" fillId="0" borderId="0" xfId="0" applyFont="1" applyAlignment="1">
      <alignment horizontal="left" vertical="center" indent="1"/>
    </xf>
    <xf numFmtId="0" fontId="4" fillId="0" borderId="0" xfId="12" applyFont="1"/>
    <xf numFmtId="0" fontId="4" fillId="0" borderId="1" xfId="21" applyFont="1" applyBorder="1"/>
    <xf numFmtId="0" fontId="1" fillId="0" borderId="1" xfId="15" applyBorder="1"/>
  </cellXfs>
  <cellStyles count="22">
    <cellStyle name="Normal" xfId="0" builtinId="0"/>
    <cellStyle name="Normal 2" xfId="1"/>
    <cellStyle name="Normal 2 2" xfId="3"/>
    <cellStyle name="Normal 2 2 2" xfId="15"/>
    <cellStyle name="Normal 2 3" xfId="7"/>
    <cellStyle name="Normal 2 3 2" xfId="18"/>
    <cellStyle name="Normal 2 4" xfId="13"/>
    <cellStyle name="Normal 3" xfId="2"/>
    <cellStyle name="Normal 3 2" xfId="8"/>
    <cellStyle name="Normal 3 2 2" xfId="19"/>
    <cellStyle name="Normal 3 3" xfId="14"/>
    <cellStyle name="Normal 4" xfId="4"/>
    <cellStyle name="Normal 4 2" xfId="16"/>
    <cellStyle name="Normal 5" xfId="5"/>
    <cellStyle name="Normal 5 2" xfId="6"/>
    <cellStyle name="Normal 5 3" xfId="10"/>
    <cellStyle name="Normal 5 3 2" xfId="20"/>
    <cellStyle name="Normal 5 4" xfId="17"/>
    <cellStyle name="Normal 6" xfId="12"/>
    <cellStyle name="Normal 6 2" xfId="21"/>
    <cellStyle name="Normal 7" xfId="9"/>
    <cellStyle name="Normal 8" xfId="11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>
      <selection activeCell="A27" sqref="A27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6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3" t="s">
        <v>171</v>
      </c>
      <c r="B9" s="24" t="s">
        <v>169</v>
      </c>
    </row>
    <row r="10" spans="1:3" x14ac:dyDescent="0.3">
      <c r="A10" s="32" t="s">
        <v>172</v>
      </c>
      <c r="B10" s="34">
        <v>25</v>
      </c>
    </row>
    <row r="11" spans="1:3" x14ac:dyDescent="0.3">
      <c r="A11" s="32" t="s">
        <v>55</v>
      </c>
      <c r="B11" s="34">
        <v>30</v>
      </c>
    </row>
    <row r="12" spans="1:3" x14ac:dyDescent="0.3">
      <c r="A12" s="32" t="s">
        <v>56</v>
      </c>
      <c r="B12" s="34">
        <v>10</v>
      </c>
    </row>
    <row r="13" spans="1:3" x14ac:dyDescent="0.3">
      <c r="A13" s="32" t="s">
        <v>85</v>
      </c>
      <c r="B13" s="34">
        <v>20</v>
      </c>
    </row>
    <row r="14" spans="1:3" x14ac:dyDescent="0.3">
      <c r="A14" s="32" t="s">
        <v>98</v>
      </c>
      <c r="B14" s="34">
        <v>40</v>
      </c>
    </row>
    <row r="15" spans="1:3" x14ac:dyDescent="0.3">
      <c r="A15" s="35" t="s">
        <v>170</v>
      </c>
      <c r="B15" s="23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zoomScale="55" zoomScaleNormal="55" workbookViewId="0">
      <pane ySplit="1" topLeftCell="A2" activePane="bottomLeft" state="frozen"/>
      <selection pane="bottomLeft" activeCell="X2" sqref="X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8" style="1" customWidth="1"/>
    <col min="25" max="16384" width="9" style="1"/>
  </cols>
  <sheetData>
    <row r="1" spans="1:24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45052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45053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45054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45055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45056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45057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45058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45059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45060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45061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45062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45063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45064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45065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45066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45067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45068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45069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45070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45071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45072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45073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45074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45075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45076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45077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45078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45079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45080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45081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45082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45083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45084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45085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45086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45087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45088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45089</v>
      </c>
    </row>
    <row r="41" spans="1:24" x14ac:dyDescent="0.3">
      <c r="H41" s="45"/>
    </row>
  </sheetData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A19">
    <cfRule type="cellIs" dxfId="3" priority="3" operator="equal">
      <formula>-1</formula>
    </cfRule>
    <cfRule type="cellIs" dxfId="2" priority="4" operator="equal">
      <formula>-1</formula>
    </cfRule>
  </conditionalFormatting>
  <conditionalFormatting sqref="A1:X40">
    <cfRule type="cellIs" dxfId="1" priority="2" operator="equal">
      <formula>-1</formula>
    </cfRule>
  </conditionalFormatting>
  <conditionalFormatting sqref="G1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E16" sqref="E1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1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H24" sqref="H24"/>
    </sheetView>
  </sheetViews>
  <sheetFormatPr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8.88671875" style="2"/>
  </cols>
  <sheetData>
    <row r="1" spans="1:7" s="38" customFormat="1" ht="21" x14ac:dyDescent="0.4">
      <c r="A1" s="39" t="s">
        <v>55</v>
      </c>
      <c r="B1" s="38" t="s">
        <v>164</v>
      </c>
    </row>
    <row r="2" spans="1:7" s="38" customFormat="1" ht="21" x14ac:dyDescent="0.4">
      <c r="B2" s="38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6" t="s">
        <v>162</v>
      </c>
      <c r="B4" s="1"/>
      <c r="C4" s="1"/>
      <c r="D4" s="1"/>
      <c r="E4" s="1"/>
      <c r="F4" s="1"/>
      <c r="G4" s="1"/>
    </row>
    <row r="5" spans="1:7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 x14ac:dyDescent="0.3">
      <c r="A6" s="7" t="s">
        <v>40</v>
      </c>
      <c r="B6" s="47">
        <v>2.7</v>
      </c>
      <c r="C6" s="47">
        <v>7.6</v>
      </c>
      <c r="D6" s="47">
        <v>4.2</v>
      </c>
      <c r="E6" s="47">
        <v>8.9</v>
      </c>
      <c r="F6" s="47">
        <v>4.2</v>
      </c>
    </row>
    <row r="7" spans="1:7" ht="14.4" x14ac:dyDescent="0.3">
      <c r="A7" s="7" t="s">
        <v>4</v>
      </c>
      <c r="B7" s="47">
        <v>2.7</v>
      </c>
      <c r="C7" s="47">
        <v>7.6</v>
      </c>
      <c r="D7" s="47">
        <v>4.2</v>
      </c>
      <c r="E7" s="47">
        <v>8.9</v>
      </c>
      <c r="F7" s="47">
        <v>4.2</v>
      </c>
    </row>
    <row r="8" spans="1:7" ht="14.4" x14ac:dyDescent="0.3">
      <c r="A8" s="7" t="s">
        <v>7</v>
      </c>
      <c r="B8" s="47">
        <v>3.6</v>
      </c>
      <c r="C8" s="47">
        <v>11.1</v>
      </c>
      <c r="D8" s="47">
        <v>5.8</v>
      </c>
      <c r="E8" s="47">
        <v>12.2</v>
      </c>
      <c r="F8" s="47">
        <v>5.8</v>
      </c>
    </row>
    <row r="9" spans="1:7" ht="14.4" x14ac:dyDescent="0.3">
      <c r="A9" s="7" t="s">
        <v>8</v>
      </c>
      <c r="B9" s="47">
        <v>4.9000000000000004</v>
      </c>
      <c r="C9" s="47">
        <v>13.3</v>
      </c>
      <c r="D9" s="47">
        <v>8.1</v>
      </c>
      <c r="E9" s="47">
        <v>17</v>
      </c>
      <c r="F9" s="47">
        <v>8.1</v>
      </c>
    </row>
    <row r="10" spans="1:7" ht="14.4" x14ac:dyDescent="0.3">
      <c r="A10" s="7" t="s">
        <v>11</v>
      </c>
      <c r="B10" s="47">
        <v>9.4</v>
      </c>
      <c r="C10" s="47">
        <v>28.3</v>
      </c>
      <c r="D10" s="47">
        <v>16.100000000000001</v>
      </c>
      <c r="E10" s="47">
        <v>32.799999999999997</v>
      </c>
      <c r="F10" s="47">
        <v>16.100000000000001</v>
      </c>
    </row>
    <row r="11" spans="1:7" ht="14.4" x14ac:dyDescent="0.3">
      <c r="A11" s="7" t="s">
        <v>12</v>
      </c>
      <c r="B11" s="47">
        <v>11.6</v>
      </c>
      <c r="C11" s="47">
        <v>35.200000000000003</v>
      </c>
      <c r="D11" s="47">
        <v>21.3</v>
      </c>
      <c r="E11" s="47">
        <v>43</v>
      </c>
      <c r="F11" s="47">
        <v>21.3</v>
      </c>
    </row>
    <row r="12" spans="1:7" ht="14.4" x14ac:dyDescent="0.3">
      <c r="A12" s="7" t="s">
        <v>14</v>
      </c>
      <c r="B12" s="47">
        <v>18.399999999999999</v>
      </c>
      <c r="C12" s="47">
        <v>55.6</v>
      </c>
      <c r="D12" s="47">
        <v>33.799999999999997</v>
      </c>
      <c r="E12" s="47">
        <v>67.900000000000006</v>
      </c>
      <c r="F12" s="47">
        <v>33.799999999999997</v>
      </c>
    </row>
    <row r="13" spans="1:7" ht="14.4" x14ac:dyDescent="0.3">
      <c r="A13" s="7" t="s">
        <v>15</v>
      </c>
      <c r="B13" s="47">
        <v>0</v>
      </c>
      <c r="C13" s="47">
        <v>0</v>
      </c>
      <c r="D13" s="47">
        <v>0</v>
      </c>
      <c r="E13" s="47">
        <v>0</v>
      </c>
      <c r="F13" s="47">
        <v>0</v>
      </c>
    </row>
    <row r="14" spans="1:7" ht="14.4" x14ac:dyDescent="0.3">
      <c r="A14" s="7" t="s">
        <v>16</v>
      </c>
      <c r="B14" s="47">
        <v>21.9</v>
      </c>
      <c r="C14" s="47">
        <v>61.5</v>
      </c>
      <c r="D14" s="47">
        <v>40.1</v>
      </c>
      <c r="E14" s="47">
        <v>76.599999999999994</v>
      </c>
      <c r="F14" s="47">
        <v>40.1</v>
      </c>
    </row>
    <row r="15" spans="1:7" ht="14.4" x14ac:dyDescent="0.3">
      <c r="A15" s="7" t="s">
        <v>18</v>
      </c>
      <c r="B15" s="47">
        <v>26.8</v>
      </c>
      <c r="C15" s="47">
        <v>79.599999999999994</v>
      </c>
      <c r="D15" s="47">
        <v>47.9</v>
      </c>
      <c r="E15" s="47">
        <v>96.8</v>
      </c>
      <c r="F15" s="47">
        <v>47.9</v>
      </c>
    </row>
    <row r="16" spans="1:7" ht="14.4" x14ac:dyDescent="0.3">
      <c r="A16" s="7" t="s">
        <v>20</v>
      </c>
      <c r="B16" s="47">
        <v>28.5</v>
      </c>
      <c r="C16" s="47">
        <v>85.4</v>
      </c>
      <c r="D16" s="47">
        <v>52.3</v>
      </c>
      <c r="E16" s="47">
        <v>106.1</v>
      </c>
      <c r="F16" s="47">
        <v>52.3</v>
      </c>
    </row>
    <row r="17" spans="1:6" ht="14.4" x14ac:dyDescent="0.3">
      <c r="A17" s="7" t="s">
        <v>22</v>
      </c>
      <c r="B17" s="47">
        <v>30.7</v>
      </c>
      <c r="C17" s="47">
        <v>92.1</v>
      </c>
      <c r="D17" s="47">
        <v>57</v>
      </c>
      <c r="E17" s="47">
        <v>115.1</v>
      </c>
      <c r="F17" s="47">
        <v>57</v>
      </c>
    </row>
    <row r="18" spans="1:6" ht="14.4" x14ac:dyDescent="0.3">
      <c r="A18" s="7" t="s">
        <v>23</v>
      </c>
      <c r="B18" s="47">
        <v>33.799999999999997</v>
      </c>
      <c r="C18" s="47">
        <v>101.3</v>
      </c>
      <c r="D18" s="47">
        <v>61.4</v>
      </c>
      <c r="E18" s="47">
        <v>124.4</v>
      </c>
      <c r="F18" s="47">
        <v>61.4</v>
      </c>
    </row>
    <row r="19" spans="1:6" ht="14.4" x14ac:dyDescent="0.3">
      <c r="A19" s="7" t="s">
        <v>24</v>
      </c>
      <c r="B19" s="47">
        <v>34.700000000000003</v>
      </c>
      <c r="C19" s="47">
        <v>106.1</v>
      </c>
      <c r="D19" s="47">
        <v>63.6</v>
      </c>
      <c r="E19" s="47">
        <v>128.6</v>
      </c>
      <c r="F19" s="47">
        <v>63.6</v>
      </c>
    </row>
    <row r="20" spans="1:6" ht="14.4" x14ac:dyDescent="0.3">
      <c r="A20" s="7" t="s">
        <v>28</v>
      </c>
      <c r="B20" s="47">
        <v>0</v>
      </c>
      <c r="C20" s="47">
        <v>0</v>
      </c>
      <c r="D20" s="47">
        <v>0</v>
      </c>
      <c r="E20" s="47">
        <v>0</v>
      </c>
      <c r="F20" s="47">
        <v>0</v>
      </c>
    </row>
    <row r="21" spans="1:6" ht="14.4" x14ac:dyDescent="0.3">
      <c r="A21" s="7" t="s">
        <v>57</v>
      </c>
      <c r="B21" s="47">
        <v>41.3</v>
      </c>
      <c r="C21" s="47">
        <v>124.4</v>
      </c>
      <c r="D21" s="47">
        <v>75</v>
      </c>
      <c r="E21" s="47">
        <v>151.5</v>
      </c>
      <c r="F21" s="47">
        <v>75</v>
      </c>
    </row>
    <row r="22" spans="1:6" ht="14.4" x14ac:dyDescent="0.3">
      <c r="A22" s="7" t="s">
        <v>58</v>
      </c>
      <c r="B22" s="47">
        <v>-1</v>
      </c>
      <c r="C22" s="47">
        <v>-1</v>
      </c>
      <c r="D22" s="47">
        <v>-1</v>
      </c>
      <c r="E22" s="47">
        <v>-1</v>
      </c>
      <c r="F22" s="47">
        <v>-1</v>
      </c>
    </row>
    <row r="23" spans="1:6" ht="14.4" x14ac:dyDescent="0.3">
      <c r="A23" s="7" t="s">
        <v>31</v>
      </c>
      <c r="B23" s="47">
        <v>45</v>
      </c>
      <c r="C23" s="47">
        <v>133.4</v>
      </c>
      <c r="D23" s="47">
        <v>79.400000000000006</v>
      </c>
      <c r="E23" s="47">
        <v>160.9</v>
      </c>
      <c r="F23" s="47">
        <v>79.400000000000006</v>
      </c>
    </row>
    <row r="24" spans="1:6" ht="14.4" x14ac:dyDescent="0.3">
      <c r="A24" s="7" t="s">
        <v>32</v>
      </c>
      <c r="B24" s="47">
        <v>-1</v>
      </c>
      <c r="C24" s="47">
        <v>-1</v>
      </c>
      <c r="D24" s="47">
        <v>-1</v>
      </c>
      <c r="E24" s="47">
        <v>-1</v>
      </c>
      <c r="F24" s="47">
        <v>-1</v>
      </c>
    </row>
    <row r="25" spans="1:6" ht="14.4" x14ac:dyDescent="0.3">
      <c r="A25" s="7" t="s">
        <v>34</v>
      </c>
      <c r="B25" s="47">
        <v>43.3</v>
      </c>
      <c r="C25" s="47">
        <v>128.6</v>
      </c>
      <c r="D25" s="47">
        <v>79.400000000000006</v>
      </c>
      <c r="E25" s="47">
        <v>160.9</v>
      </c>
      <c r="F25" s="47">
        <v>79.400000000000006</v>
      </c>
    </row>
    <row r="26" spans="1:6" ht="14.4" x14ac:dyDescent="0.3">
      <c r="A26" s="7" t="s">
        <v>37</v>
      </c>
      <c r="B26" s="47">
        <v>49.1</v>
      </c>
      <c r="C26" s="47">
        <v>146.80000000000001</v>
      </c>
      <c r="D26" s="47">
        <v>90.9</v>
      </c>
      <c r="E26" s="47">
        <v>183.5</v>
      </c>
      <c r="F26" s="47">
        <v>90.9</v>
      </c>
    </row>
    <row r="27" spans="1:6" ht="14.4" x14ac:dyDescent="0.3">
      <c r="A27" s="7" t="s">
        <v>39</v>
      </c>
      <c r="B27" s="47">
        <v>51.8</v>
      </c>
      <c r="C27" s="47">
        <v>156.4</v>
      </c>
      <c r="D27" s="47">
        <v>93.1</v>
      </c>
      <c r="E27" s="47">
        <v>188.1</v>
      </c>
      <c r="F27" s="47">
        <v>93.1</v>
      </c>
    </row>
    <row r="28" spans="1:6" ht="14.4" x14ac:dyDescent="0.3">
      <c r="A28" s="17" t="s">
        <v>82</v>
      </c>
      <c r="B28" s="43">
        <f>MIN(B6:B27)</f>
        <v>-1</v>
      </c>
      <c r="C28" s="43">
        <f>MIN(C6:C27)</f>
        <v>-1</v>
      </c>
      <c r="D28" s="43">
        <f>MIN(D6:D27)</f>
        <v>-1</v>
      </c>
      <c r="E28" s="43">
        <f>MIN(E6:E27)</f>
        <v>-1</v>
      </c>
      <c r="F28" s="43">
        <f>MIN(F6:F27)</f>
        <v>-1</v>
      </c>
    </row>
    <row r="29" spans="1:6" ht="14.4" x14ac:dyDescent="0.3">
      <c r="A29" s="17" t="s">
        <v>83</v>
      </c>
      <c r="B29" s="43">
        <f>MAX(B6:B28)</f>
        <v>51.8</v>
      </c>
      <c r="C29" s="43">
        <f>MAX(C6:C28)</f>
        <v>156.4</v>
      </c>
      <c r="D29" s="43">
        <f>MAX(D6:D28)</f>
        <v>93.1</v>
      </c>
      <c r="E29" s="43">
        <f>MAX(E6:E28)</f>
        <v>188.1</v>
      </c>
      <c r="F29" s="43">
        <f>MAX(F6:F28)</f>
        <v>93.1</v>
      </c>
    </row>
    <row r="30" spans="1:6" ht="14.4" x14ac:dyDescent="0.3">
      <c r="A30" s="17" t="s">
        <v>84</v>
      </c>
      <c r="B30" s="43">
        <f>AVERAGE(B6:B29)</f>
        <v>21.208333333333336</v>
      </c>
      <c r="C30" s="43">
        <f>AVERAGE(C6:C29)</f>
        <v>63.654166666666669</v>
      </c>
      <c r="D30" s="43">
        <f>AVERAGE(D6:D29)</f>
        <v>38.487500000000004</v>
      </c>
      <c r="E30" s="43">
        <f>AVERAGE(E6:E29)</f>
        <v>77.845833333333331</v>
      </c>
      <c r="F30" s="43">
        <f>AVERAGE(F6:F29)</f>
        <v>38.487500000000004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8"/>
  <sheetViews>
    <sheetView zoomScaleNormal="100" workbookViewId="0">
      <selection activeCell="I17" sqref="I17"/>
    </sheetView>
  </sheetViews>
  <sheetFormatPr defaultRowHeight="14.4" x14ac:dyDescent="0.3"/>
  <cols>
    <col min="1" max="1" width="39.77734375" style="1" bestFit="1" customWidth="1"/>
    <col min="2" max="16384" width="8.88671875" style="1"/>
  </cols>
  <sheetData>
    <row r="1" spans="1:8" s="38" customFormat="1" ht="21" x14ac:dyDescent="0.4">
      <c r="A1" s="39" t="s">
        <v>56</v>
      </c>
      <c r="B1" s="38" t="s">
        <v>174</v>
      </c>
    </row>
    <row r="2" spans="1:8" customFormat="1" ht="13.2" x14ac:dyDescent="0.25"/>
    <row r="3" spans="1:8" s="2" customFormat="1" x14ac:dyDescent="0.3">
      <c r="B3" s="1"/>
    </row>
    <row r="4" spans="1:8" s="2" customFormat="1" x14ac:dyDescent="0.3">
      <c r="B4" s="1" t="s">
        <v>151</v>
      </c>
    </row>
    <row r="5" spans="1:8" ht="18" x14ac:dyDescent="0.35">
      <c r="A5" s="40" t="s">
        <v>53</v>
      </c>
      <c r="B5" s="37"/>
    </row>
    <row r="6" spans="1:8" ht="18" x14ac:dyDescent="0.35">
      <c r="A6" s="40" t="s">
        <v>153</v>
      </c>
      <c r="B6" s="1" t="s">
        <v>181</v>
      </c>
    </row>
    <row r="7" spans="1:8" ht="18" x14ac:dyDescent="0.35">
      <c r="A7" s="40"/>
      <c r="B7" s="1" t="s">
        <v>178</v>
      </c>
    </row>
    <row r="8" spans="1:8" x14ac:dyDescent="0.3">
      <c r="B8" s="1" t="s">
        <v>179</v>
      </c>
    </row>
    <row r="9" spans="1:8" x14ac:dyDescent="0.3">
      <c r="B9" s="1" t="s">
        <v>180</v>
      </c>
    </row>
    <row r="10" spans="1:8" x14ac:dyDescent="0.3">
      <c r="B10" s="1" t="s">
        <v>182</v>
      </c>
    </row>
    <row r="11" spans="1:8" x14ac:dyDescent="0.3">
      <c r="B11" s="1" t="s">
        <v>183</v>
      </c>
    </row>
    <row r="13" spans="1:8" ht="23.4" x14ac:dyDescent="0.45">
      <c r="A13" s="16" t="s">
        <v>165</v>
      </c>
    </row>
    <row r="14" spans="1:8" x14ac:dyDescent="0.3">
      <c r="A14" s="30" t="s">
        <v>102</v>
      </c>
      <c r="B14" s="15" t="s">
        <v>49</v>
      </c>
      <c r="C14" s="15" t="s">
        <v>50</v>
      </c>
      <c r="D14" s="15" t="s">
        <v>51</v>
      </c>
      <c r="E14" s="15" t="s">
        <v>52</v>
      </c>
      <c r="F14" s="15" t="s">
        <v>54</v>
      </c>
    </row>
    <row r="15" spans="1:8" ht="15" x14ac:dyDescent="0.3">
      <c r="A15" s="8" t="s">
        <v>121</v>
      </c>
      <c r="B15" s="11">
        <v>20000</v>
      </c>
      <c r="C15" s="11" t="s">
        <v>5</v>
      </c>
      <c r="D15" s="11">
        <v>0</v>
      </c>
      <c r="E15" s="9" t="s">
        <v>6</v>
      </c>
      <c r="F15" s="9">
        <v>24</v>
      </c>
      <c r="H15" s="46"/>
    </row>
    <row r="16" spans="1:8" ht="15" x14ac:dyDescent="0.3">
      <c r="H16" s="46"/>
    </row>
    <row r="17" spans="1:8" ht="15" x14ac:dyDescent="0.3">
      <c r="H17" s="46"/>
    </row>
    <row r="18" spans="1:8" ht="23.4" x14ac:dyDescent="0.45">
      <c r="A18" s="16" t="s">
        <v>162</v>
      </c>
      <c r="H18" s="46"/>
    </row>
    <row r="19" spans="1:8" ht="15" x14ac:dyDescent="0.3">
      <c r="A19" s="12" t="s">
        <v>103</v>
      </c>
      <c r="B19" s="15" t="s">
        <v>49</v>
      </c>
      <c r="C19" s="13" t="s">
        <v>50</v>
      </c>
      <c r="D19" s="15" t="s">
        <v>51</v>
      </c>
      <c r="E19" s="13" t="s">
        <v>52</v>
      </c>
      <c r="F19" s="15" t="s">
        <v>54</v>
      </c>
      <c r="H19" s="46"/>
    </row>
    <row r="20" spans="1:8" ht="15" x14ac:dyDescent="0.3">
      <c r="A20" s="7" t="s">
        <v>121</v>
      </c>
      <c r="B20" s="48">
        <v>20000</v>
      </c>
      <c r="C20" s="49" t="s">
        <v>5</v>
      </c>
      <c r="D20" s="49">
        <v>0</v>
      </c>
      <c r="E20" s="49" t="s">
        <v>6</v>
      </c>
      <c r="F20" s="49">
        <v>24</v>
      </c>
      <c r="H20" s="46"/>
    </row>
    <row r="21" spans="1:8" x14ac:dyDescent="0.3">
      <c r="A21" s="7" t="s">
        <v>122</v>
      </c>
      <c r="B21" s="48">
        <v>20002</v>
      </c>
      <c r="C21" s="49" t="s">
        <v>5</v>
      </c>
      <c r="D21" s="49">
        <v>0</v>
      </c>
      <c r="E21" s="49" t="s">
        <v>6</v>
      </c>
      <c r="F21" s="49">
        <v>24</v>
      </c>
    </row>
    <row r="22" spans="1:8" x14ac:dyDescent="0.3">
      <c r="A22" s="7" t="s">
        <v>123</v>
      </c>
      <c r="B22" s="48">
        <v>20004</v>
      </c>
      <c r="C22" s="49" t="s">
        <v>5</v>
      </c>
      <c r="D22" s="49">
        <v>0</v>
      </c>
      <c r="E22" s="49" t="s">
        <v>6</v>
      </c>
      <c r="F22" s="49">
        <v>24</v>
      </c>
    </row>
    <row r="23" spans="1:8" x14ac:dyDescent="0.3">
      <c r="A23" s="7" t="s">
        <v>124</v>
      </c>
      <c r="B23" s="48">
        <v>20006</v>
      </c>
      <c r="C23" s="49" t="s">
        <v>5</v>
      </c>
      <c r="D23" s="49">
        <v>0</v>
      </c>
      <c r="E23" s="49" t="s">
        <v>6</v>
      </c>
      <c r="F23" s="49">
        <v>24</v>
      </c>
    </row>
    <row r="24" spans="1:8" x14ac:dyDescent="0.3">
      <c r="A24" s="7" t="s">
        <v>125</v>
      </c>
      <c r="B24" s="48">
        <v>20008</v>
      </c>
      <c r="C24" s="49" t="s">
        <v>5</v>
      </c>
      <c r="D24" s="49">
        <v>0</v>
      </c>
      <c r="E24" s="49" t="s">
        <v>6</v>
      </c>
      <c r="F24" s="49">
        <v>24</v>
      </c>
    </row>
    <row r="25" spans="1:8" x14ac:dyDescent="0.3">
      <c r="A25" s="7" t="s">
        <v>126</v>
      </c>
      <c r="B25" s="48">
        <v>20010</v>
      </c>
      <c r="C25" s="49" t="s">
        <v>5</v>
      </c>
      <c r="D25" s="49">
        <v>0</v>
      </c>
      <c r="E25" s="49" t="s">
        <v>6</v>
      </c>
      <c r="F25" s="49">
        <v>24</v>
      </c>
    </row>
    <row r="26" spans="1:8" x14ac:dyDescent="0.3">
      <c r="A26" s="7" t="s">
        <v>127</v>
      </c>
      <c r="B26" s="48">
        <v>20012</v>
      </c>
      <c r="C26" s="49" t="s">
        <v>5</v>
      </c>
      <c r="D26" s="49">
        <v>0</v>
      </c>
      <c r="E26" s="49" t="s">
        <v>6</v>
      </c>
      <c r="F26" s="49">
        <v>24</v>
      </c>
    </row>
    <row r="27" spans="1:8" x14ac:dyDescent="0.3">
      <c r="A27" s="7" t="s">
        <v>128</v>
      </c>
      <c r="B27" s="48">
        <v>20014</v>
      </c>
      <c r="C27" s="49" t="s">
        <v>5</v>
      </c>
      <c r="D27" s="49">
        <v>0</v>
      </c>
      <c r="E27" s="49" t="s">
        <v>6</v>
      </c>
      <c r="F27" s="49">
        <v>24</v>
      </c>
    </row>
    <row r="28" spans="1:8" x14ac:dyDescent="0.3">
      <c r="A28" s="7" t="s">
        <v>129</v>
      </c>
      <c r="B28" s="48">
        <v>20016</v>
      </c>
      <c r="C28" s="49" t="s">
        <v>5</v>
      </c>
      <c r="D28" s="49">
        <v>0</v>
      </c>
      <c r="E28" s="49" t="s">
        <v>6</v>
      </c>
      <c r="F28" s="49">
        <v>24</v>
      </c>
    </row>
    <row r="29" spans="1:8" x14ac:dyDescent="0.3">
      <c r="A29" s="7" t="s">
        <v>130</v>
      </c>
      <c r="B29" s="48">
        <v>20018</v>
      </c>
      <c r="C29" s="49" t="s">
        <v>5</v>
      </c>
      <c r="D29" s="49">
        <v>0</v>
      </c>
      <c r="E29" s="49" t="s">
        <v>6</v>
      </c>
      <c r="F29" s="49">
        <v>24</v>
      </c>
    </row>
    <row r="30" spans="1:8" x14ac:dyDescent="0.3">
      <c r="A30" s="7" t="s">
        <v>131</v>
      </c>
      <c r="B30" s="48">
        <v>20020</v>
      </c>
      <c r="C30" s="49" t="s">
        <v>5</v>
      </c>
      <c r="D30" s="49">
        <v>0</v>
      </c>
      <c r="E30" s="49" t="s">
        <v>6</v>
      </c>
      <c r="F30" s="49">
        <v>24</v>
      </c>
    </row>
    <row r="31" spans="1:8" x14ac:dyDescent="0.3">
      <c r="A31" s="7" t="s">
        <v>132</v>
      </c>
      <c r="B31" s="48">
        <v>20022</v>
      </c>
      <c r="C31" s="49" t="s">
        <v>5</v>
      </c>
      <c r="D31" s="49">
        <v>0</v>
      </c>
      <c r="E31" s="49" t="s">
        <v>6</v>
      </c>
      <c r="F31" s="49">
        <v>24</v>
      </c>
    </row>
    <row r="32" spans="1:8" x14ac:dyDescent="0.3">
      <c r="A32" s="7" t="s">
        <v>133</v>
      </c>
      <c r="B32" s="48">
        <v>20024</v>
      </c>
      <c r="C32" s="49" t="s">
        <v>5</v>
      </c>
      <c r="D32" s="49">
        <v>0</v>
      </c>
      <c r="E32" s="49" t="s">
        <v>6</v>
      </c>
      <c r="F32" s="49">
        <v>24</v>
      </c>
    </row>
    <row r="33" spans="1:6" x14ac:dyDescent="0.3">
      <c r="A33" s="7" t="s">
        <v>134</v>
      </c>
      <c r="B33" s="48">
        <v>20026</v>
      </c>
      <c r="C33" s="49" t="s">
        <v>5</v>
      </c>
      <c r="D33" s="49">
        <v>0</v>
      </c>
      <c r="E33" s="49" t="s">
        <v>6</v>
      </c>
      <c r="F33" s="49">
        <v>24</v>
      </c>
    </row>
    <row r="34" spans="1:6" x14ac:dyDescent="0.3">
      <c r="A34" s="7" t="s">
        <v>135</v>
      </c>
      <c r="B34" s="48">
        <v>20028</v>
      </c>
      <c r="C34" s="49" t="s">
        <v>5</v>
      </c>
      <c r="D34" s="49">
        <v>0</v>
      </c>
      <c r="E34" s="49" t="s">
        <v>6</v>
      </c>
      <c r="F34" s="49">
        <v>24</v>
      </c>
    </row>
    <row r="35" spans="1:6" x14ac:dyDescent="0.3">
      <c r="A35" s="7" t="s">
        <v>136</v>
      </c>
      <c r="B35" s="48">
        <v>20030</v>
      </c>
      <c r="C35" s="49" t="s">
        <v>5</v>
      </c>
      <c r="D35" s="49">
        <v>0</v>
      </c>
      <c r="E35" s="49" t="s">
        <v>6</v>
      </c>
      <c r="F35" s="49">
        <v>24</v>
      </c>
    </row>
    <row r="36" spans="1:6" x14ac:dyDescent="0.3">
      <c r="A36" s="7" t="s">
        <v>137</v>
      </c>
      <c r="B36" s="48">
        <v>20032</v>
      </c>
      <c r="C36" s="49" t="s">
        <v>5</v>
      </c>
      <c r="D36" s="49">
        <v>0</v>
      </c>
      <c r="E36" s="49" t="s">
        <v>6</v>
      </c>
      <c r="F36" s="49">
        <v>24</v>
      </c>
    </row>
    <row r="37" spans="1:6" x14ac:dyDescent="0.3">
      <c r="A37" s="7" t="s">
        <v>138</v>
      </c>
      <c r="B37" s="48">
        <v>20034</v>
      </c>
      <c r="C37" s="49" t="s">
        <v>5</v>
      </c>
      <c r="D37" s="49">
        <v>0</v>
      </c>
      <c r="E37" s="49" t="s">
        <v>6</v>
      </c>
      <c r="F37" s="49">
        <v>24</v>
      </c>
    </row>
    <row r="38" spans="1:6" x14ac:dyDescent="0.3">
      <c r="A38" s="7" t="s">
        <v>139</v>
      </c>
      <c r="B38" s="48">
        <v>20036</v>
      </c>
      <c r="C38" s="49" t="s">
        <v>5</v>
      </c>
      <c r="D38" s="49">
        <v>0</v>
      </c>
      <c r="E38" s="49" t="s">
        <v>6</v>
      </c>
      <c r="F38" s="49">
        <v>24</v>
      </c>
    </row>
    <row r="39" spans="1:6" x14ac:dyDescent="0.3">
      <c r="A39" s="7" t="s">
        <v>140</v>
      </c>
      <c r="B39" s="48">
        <v>20038</v>
      </c>
      <c r="C39" s="49" t="s">
        <v>5</v>
      </c>
      <c r="D39" s="49">
        <v>0</v>
      </c>
      <c r="E39" s="49" t="s">
        <v>6</v>
      </c>
      <c r="F39" s="49">
        <v>24</v>
      </c>
    </row>
    <row r="40" spans="1:6" x14ac:dyDescent="0.3">
      <c r="A40" s="7" t="s">
        <v>141</v>
      </c>
      <c r="B40" s="48">
        <v>20040</v>
      </c>
      <c r="C40" s="49" t="s">
        <v>5</v>
      </c>
      <c r="D40" s="49">
        <v>0</v>
      </c>
      <c r="E40" s="49" t="s">
        <v>6</v>
      </c>
      <c r="F40" s="49">
        <v>24</v>
      </c>
    </row>
    <row r="41" spans="1:6" x14ac:dyDescent="0.3">
      <c r="A41" s="7" t="s">
        <v>142</v>
      </c>
      <c r="B41" s="48">
        <v>20042</v>
      </c>
      <c r="C41" s="49" t="s">
        <v>5</v>
      </c>
      <c r="D41" s="49">
        <v>0</v>
      </c>
      <c r="E41" s="49" t="s">
        <v>6</v>
      </c>
      <c r="F41" s="49">
        <v>24</v>
      </c>
    </row>
    <row r="42" spans="1:6" x14ac:dyDescent="0.3">
      <c r="A42" s="7" t="s">
        <v>143</v>
      </c>
      <c r="B42" s="48">
        <v>20044</v>
      </c>
      <c r="C42" s="49" t="s">
        <v>5</v>
      </c>
      <c r="D42" s="49">
        <v>0</v>
      </c>
      <c r="E42" s="49" t="s">
        <v>6</v>
      </c>
      <c r="F42" s="49">
        <v>24</v>
      </c>
    </row>
    <row r="43" spans="1:6" x14ac:dyDescent="0.3">
      <c r="A43" s="7" t="s">
        <v>144</v>
      </c>
      <c r="B43" s="48">
        <v>20046</v>
      </c>
      <c r="C43" s="49" t="s">
        <v>5</v>
      </c>
      <c r="D43" s="49">
        <v>0</v>
      </c>
      <c r="E43" s="49" t="s">
        <v>6</v>
      </c>
      <c r="F43" s="49">
        <v>24</v>
      </c>
    </row>
    <row r="44" spans="1:6" x14ac:dyDescent="0.3">
      <c r="A44" s="7" t="s">
        <v>145</v>
      </c>
      <c r="B44" s="48">
        <v>20048</v>
      </c>
      <c r="C44" s="49" t="s">
        <v>5</v>
      </c>
      <c r="D44" s="49">
        <v>0</v>
      </c>
      <c r="E44" s="49" t="s">
        <v>6</v>
      </c>
      <c r="F44" s="49">
        <v>24</v>
      </c>
    </row>
    <row r="45" spans="1:6" x14ac:dyDescent="0.3">
      <c r="A45" s="7" t="s">
        <v>146</v>
      </c>
      <c r="B45" s="48">
        <v>20050</v>
      </c>
      <c r="C45" s="49" t="s">
        <v>5</v>
      </c>
      <c r="D45" s="49">
        <v>0</v>
      </c>
      <c r="E45" s="49" t="s">
        <v>6</v>
      </c>
      <c r="F45" s="49">
        <v>24</v>
      </c>
    </row>
    <row r="46" spans="1:6" x14ac:dyDescent="0.3">
      <c r="A46" s="7" t="s">
        <v>147</v>
      </c>
      <c r="B46" s="48">
        <v>20052</v>
      </c>
      <c r="C46" s="49" t="s">
        <v>5</v>
      </c>
      <c r="D46" s="49">
        <v>0</v>
      </c>
      <c r="E46" s="49" t="s">
        <v>6</v>
      </c>
      <c r="F46" s="49">
        <v>24</v>
      </c>
    </row>
    <row r="47" spans="1:6" x14ac:dyDescent="0.3">
      <c r="A47" s="7" t="s">
        <v>148</v>
      </c>
      <c r="B47" s="48">
        <v>20054</v>
      </c>
      <c r="C47" s="49" t="s">
        <v>5</v>
      </c>
      <c r="D47" s="49">
        <v>0</v>
      </c>
      <c r="E47" s="49" t="s">
        <v>6</v>
      </c>
      <c r="F47" s="49">
        <v>24</v>
      </c>
    </row>
    <row r="48" spans="1:6" x14ac:dyDescent="0.3">
      <c r="A48" s="7" t="s">
        <v>149</v>
      </c>
      <c r="B48" s="48">
        <v>20058</v>
      </c>
      <c r="C48" s="49" t="s">
        <v>5</v>
      </c>
      <c r="D48" s="49">
        <v>0</v>
      </c>
      <c r="E48" s="49" t="s">
        <v>6</v>
      </c>
      <c r="F48" s="49">
        <v>24</v>
      </c>
    </row>
    <row r="49" spans="1:6" x14ac:dyDescent="0.3">
      <c r="A49" s="7" t="s">
        <v>150</v>
      </c>
      <c r="B49" s="48">
        <v>20060</v>
      </c>
      <c r="C49" s="49" t="s">
        <v>5</v>
      </c>
      <c r="D49" s="49">
        <v>0</v>
      </c>
      <c r="E49" s="49" t="s">
        <v>6</v>
      </c>
      <c r="F49" s="49">
        <v>24</v>
      </c>
    </row>
    <row r="50" spans="1:6" x14ac:dyDescent="0.3">
      <c r="A50" s="7" t="s">
        <v>112</v>
      </c>
      <c r="B50" s="48">
        <v>21000</v>
      </c>
      <c r="C50" s="49" t="s">
        <v>5</v>
      </c>
      <c r="D50" s="49">
        <v>0</v>
      </c>
      <c r="E50" s="49" t="s">
        <v>6</v>
      </c>
      <c r="F50" s="49">
        <v>24</v>
      </c>
    </row>
    <row r="51" spans="1:6" x14ac:dyDescent="0.3">
      <c r="A51" s="7" t="s">
        <v>113</v>
      </c>
      <c r="B51" s="48">
        <v>21002</v>
      </c>
      <c r="C51" s="49" t="s">
        <v>5</v>
      </c>
      <c r="D51" s="49">
        <v>0</v>
      </c>
      <c r="E51" s="49" t="s">
        <v>6</v>
      </c>
      <c r="F51" s="49">
        <v>24</v>
      </c>
    </row>
    <row r="52" spans="1:6" x14ac:dyDescent="0.3">
      <c r="A52" s="7" t="s">
        <v>114</v>
      </c>
      <c r="B52" s="48">
        <v>21004</v>
      </c>
      <c r="C52" s="49" t="s">
        <v>5</v>
      </c>
      <c r="D52" s="49">
        <v>0</v>
      </c>
      <c r="E52" s="49" t="s">
        <v>6</v>
      </c>
      <c r="F52" s="49">
        <v>24</v>
      </c>
    </row>
    <row r="53" spans="1:6" x14ac:dyDescent="0.3">
      <c r="A53" s="7" t="s">
        <v>115</v>
      </c>
      <c r="B53" s="48">
        <v>21006</v>
      </c>
      <c r="C53" s="49" t="s">
        <v>5</v>
      </c>
      <c r="D53" s="49">
        <v>0</v>
      </c>
      <c r="E53" s="49" t="s">
        <v>6</v>
      </c>
      <c r="F53" s="49">
        <v>24</v>
      </c>
    </row>
    <row r="54" spans="1:6" x14ac:dyDescent="0.3">
      <c r="A54" s="7" t="s">
        <v>116</v>
      </c>
      <c r="B54" s="48">
        <v>21008</v>
      </c>
      <c r="C54" s="49" t="s">
        <v>5</v>
      </c>
      <c r="D54" s="49">
        <v>0</v>
      </c>
      <c r="E54" s="49" t="s">
        <v>6</v>
      </c>
      <c r="F54" s="49">
        <v>24</v>
      </c>
    </row>
    <row r="55" spans="1:6" x14ac:dyDescent="0.3">
      <c r="A55" s="7" t="s">
        <v>117</v>
      </c>
      <c r="B55" s="48">
        <v>21010</v>
      </c>
      <c r="C55" s="49" t="s">
        <v>5</v>
      </c>
      <c r="D55" s="49">
        <v>0</v>
      </c>
      <c r="E55" s="49" t="s">
        <v>6</v>
      </c>
      <c r="F55" s="49">
        <v>24</v>
      </c>
    </row>
    <row r="56" spans="1:6" x14ac:dyDescent="0.3">
      <c r="A56" s="7" t="s">
        <v>118</v>
      </c>
      <c r="B56" s="48">
        <v>21012</v>
      </c>
      <c r="C56" s="49" t="s">
        <v>5</v>
      </c>
      <c r="D56" s="49">
        <v>0</v>
      </c>
      <c r="E56" s="49" t="s">
        <v>6</v>
      </c>
      <c r="F56" s="49">
        <v>24</v>
      </c>
    </row>
    <row r="57" spans="1:6" x14ac:dyDescent="0.3">
      <c r="A57" s="7" t="s">
        <v>119</v>
      </c>
      <c r="B57" s="48">
        <v>21014</v>
      </c>
      <c r="C57" s="49" t="s">
        <v>5</v>
      </c>
      <c r="D57" s="49">
        <v>0</v>
      </c>
      <c r="E57" s="49" t="s">
        <v>6</v>
      </c>
      <c r="F57" s="49">
        <v>24</v>
      </c>
    </row>
    <row r="58" spans="1:6" x14ac:dyDescent="0.3">
      <c r="A58" s="8" t="s">
        <v>120</v>
      </c>
      <c r="B58" s="48">
        <v>21016</v>
      </c>
      <c r="C58" s="49" t="s">
        <v>5</v>
      </c>
      <c r="D58" s="49">
        <v>0</v>
      </c>
      <c r="E58" s="49" t="s">
        <v>6</v>
      </c>
      <c r="F58" s="49">
        <v>24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A28" sqref="A2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39" t="s">
        <v>85</v>
      </c>
      <c r="B1" s="38" t="s">
        <v>167</v>
      </c>
    </row>
    <row r="2" spans="1:3" ht="18" x14ac:dyDescent="0.35">
      <c r="B2" s="37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2" t="s">
        <v>184</v>
      </c>
    </row>
    <row r="7" spans="1:3" ht="14.4" x14ac:dyDescent="0.3">
      <c r="A7" s="3" t="s">
        <v>153</v>
      </c>
      <c r="B7" s="1" t="s">
        <v>185</v>
      </c>
    </row>
    <row r="10" spans="1:3" ht="23.4" x14ac:dyDescent="0.45">
      <c r="A10" s="16" t="s">
        <v>162</v>
      </c>
    </row>
    <row r="11" spans="1:3" ht="14.4" x14ac:dyDescent="0.3">
      <c r="A11" s="29" t="s">
        <v>86</v>
      </c>
      <c r="B11" s="15" t="s">
        <v>87</v>
      </c>
      <c r="C11" s="15" t="s">
        <v>88</v>
      </c>
    </row>
    <row r="12" spans="1:3" ht="14.4" x14ac:dyDescent="0.3">
      <c r="A12" s="29">
        <v>44927</v>
      </c>
      <c r="B12" s="15" t="s">
        <v>59</v>
      </c>
      <c r="C12" s="15">
        <v>200</v>
      </c>
    </row>
    <row r="13" spans="1:3" ht="14.4" x14ac:dyDescent="0.3">
      <c r="A13" s="29">
        <v>44928</v>
      </c>
      <c r="B13" s="15" t="s">
        <v>60</v>
      </c>
      <c r="C13" s="15" t="e">
        <v>#N/A</v>
      </c>
    </row>
    <row r="14" spans="1:3" ht="14.4" x14ac:dyDescent="0.3">
      <c r="A14" s="29">
        <v>44929</v>
      </c>
      <c r="B14" s="15" t="s">
        <v>61</v>
      </c>
      <c r="C14" s="15">
        <v>50</v>
      </c>
    </row>
    <row r="15" spans="1:3" ht="14.4" x14ac:dyDescent="0.3">
      <c r="A15" s="29">
        <v>44930</v>
      </c>
      <c r="B15" s="15" t="s">
        <v>62</v>
      </c>
      <c r="C15" s="15" t="e">
        <v>#N/A</v>
      </c>
    </row>
    <row r="16" spans="1:3" ht="14.4" x14ac:dyDescent="0.3">
      <c r="A16" s="29">
        <v>44931</v>
      </c>
      <c r="B16" s="15" t="s">
        <v>63</v>
      </c>
      <c r="C16" s="15">
        <v>10</v>
      </c>
    </row>
    <row r="17" spans="1:3" ht="14.4" x14ac:dyDescent="0.3">
      <c r="A17" s="29">
        <v>44932</v>
      </c>
      <c r="B17" s="15" t="s">
        <v>154</v>
      </c>
      <c r="C17" s="15">
        <v>150</v>
      </c>
    </row>
    <row r="18" spans="1:3" ht="14.4" x14ac:dyDescent="0.3">
      <c r="A18" s="29">
        <v>44933</v>
      </c>
      <c r="B18" s="15" t="s">
        <v>155</v>
      </c>
      <c r="C18" s="15">
        <v>80</v>
      </c>
    </row>
    <row r="19" spans="1:3" ht="14.4" x14ac:dyDescent="0.3">
      <c r="A19" s="29">
        <v>44934</v>
      </c>
      <c r="B19" s="15" t="s">
        <v>156</v>
      </c>
      <c r="C19" s="15" t="e">
        <v>#N/A</v>
      </c>
    </row>
    <row r="20" spans="1:3" ht="14.4" x14ac:dyDescent="0.3">
      <c r="A20" s="29">
        <v>44935</v>
      </c>
      <c r="B20" s="15" t="s">
        <v>157</v>
      </c>
      <c r="C20" s="15">
        <v>30</v>
      </c>
    </row>
    <row r="21" spans="1:3" ht="14.4" x14ac:dyDescent="0.3">
      <c r="A21" s="29">
        <v>44936</v>
      </c>
      <c r="B21" s="15" t="s">
        <v>158</v>
      </c>
      <c r="C21" s="15" t="e">
        <v>#N/A</v>
      </c>
    </row>
    <row r="22" spans="1:3" ht="14.4" x14ac:dyDescent="0.3">
      <c r="B22" s="15" t="s">
        <v>159</v>
      </c>
      <c r="C22" s="23">
        <f>SUMIFS(C12:C21, C12:C21, "&lt;&gt;#N/A") + SUMIFS(C12:C21, C12:C21, NA(), C12:C21, "&gt;0") * 20</f>
        <v>520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I26" sqref="I2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39" t="s">
        <v>98</v>
      </c>
      <c r="B1" s="38" t="s">
        <v>175</v>
      </c>
    </row>
    <row r="3" spans="1:14" ht="14.4" x14ac:dyDescent="0.3">
      <c r="B3" s="1" t="s">
        <v>151</v>
      </c>
    </row>
    <row r="4" spans="1:14" ht="18" x14ac:dyDescent="0.35">
      <c r="A4" s="40" t="s">
        <v>53</v>
      </c>
      <c r="B4" s="1"/>
    </row>
    <row r="5" spans="1:14" ht="18" x14ac:dyDescent="0.35">
      <c r="A5" s="40" t="s">
        <v>153</v>
      </c>
      <c r="B5" s="1"/>
    </row>
    <row r="6" spans="1:14" ht="14.4" x14ac:dyDescent="0.3">
      <c r="A6" s="3"/>
      <c r="B6" s="1"/>
    </row>
    <row r="8" spans="1:14" ht="23.4" x14ac:dyDescent="0.45">
      <c r="A8" s="16" t="s">
        <v>162</v>
      </c>
      <c r="M8" s="16" t="s">
        <v>163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4" x14ac:dyDescent="0.45">
      <c r="A21" s="16" t="s">
        <v>168</v>
      </c>
    </row>
    <row r="22" spans="1:14" ht="14.4" x14ac:dyDescent="0.3">
      <c r="A22" s="12" t="s">
        <v>100</v>
      </c>
      <c r="B22" s="15" t="s">
        <v>101</v>
      </c>
      <c r="C22" s="14" t="s">
        <v>102</v>
      </c>
    </row>
    <row r="23" spans="1:14" ht="14.4" x14ac:dyDescent="0.3">
      <c r="A23" s="7">
        <v>10100</v>
      </c>
      <c r="B23" s="10">
        <v>10102</v>
      </c>
      <c r="C23" s="41"/>
    </row>
    <row r="24" spans="1:14" ht="14.4" x14ac:dyDescent="0.3">
      <c r="A24" s="7">
        <v>10100</v>
      </c>
      <c r="B24" s="10">
        <v>10104</v>
      </c>
      <c r="C24" s="41"/>
    </row>
    <row r="25" spans="1:14" ht="14.4" x14ac:dyDescent="0.3">
      <c r="A25" s="7">
        <v>10108</v>
      </c>
      <c r="B25" s="10">
        <v>10102</v>
      </c>
      <c r="C25" s="41"/>
    </row>
    <row r="26" spans="1:14" ht="14.4" x14ac:dyDescent="0.3">
      <c r="A26" s="7">
        <v>10100</v>
      </c>
      <c r="B26" s="10">
        <v>10106</v>
      </c>
      <c r="C26" s="41"/>
    </row>
    <row r="27" spans="1:14" ht="14.4" x14ac:dyDescent="0.3">
      <c r="A27" s="7">
        <v>10108</v>
      </c>
      <c r="B27" s="10">
        <v>10110</v>
      </c>
      <c r="C27" s="41"/>
    </row>
    <row r="28" spans="1:14" ht="14.4" x14ac:dyDescent="0.3">
      <c r="A28" s="7">
        <v>10102</v>
      </c>
      <c r="B28" s="10">
        <v>10104</v>
      </c>
      <c r="C28" s="41"/>
    </row>
    <row r="29" spans="1:14" ht="14.4" x14ac:dyDescent="0.3">
      <c r="A29" s="7">
        <v>10106</v>
      </c>
      <c r="B29" s="10">
        <v>10108</v>
      </c>
      <c r="C29" s="41"/>
    </row>
    <row r="30" spans="1:14" ht="14.4" x14ac:dyDescent="0.3">
      <c r="A30" s="7">
        <v>10102</v>
      </c>
      <c r="B30" s="10">
        <v>10106</v>
      </c>
      <c r="C30" s="41"/>
    </row>
    <row r="31" spans="1:14" ht="14.4" x14ac:dyDescent="0.3">
      <c r="A31" s="7">
        <v>10110</v>
      </c>
      <c r="B31" s="10">
        <v>10114</v>
      </c>
      <c r="C31" s="41"/>
    </row>
    <row r="32" spans="1:14" ht="14.4" x14ac:dyDescent="0.3">
      <c r="A32" s="7">
        <v>10104</v>
      </c>
      <c r="B32" s="10">
        <v>10106</v>
      </c>
      <c r="C32" s="41"/>
    </row>
    <row r="33" spans="1:3" ht="14.4" x14ac:dyDescent="0.3">
      <c r="A33" s="7">
        <v>10110</v>
      </c>
      <c r="B33" s="10">
        <v>10112</v>
      </c>
      <c r="C33" s="41"/>
    </row>
    <row r="34" spans="1:3" ht="14.4" x14ac:dyDescent="0.3">
      <c r="A34" s="7">
        <v>10100</v>
      </c>
      <c r="B34" s="10">
        <v>10114</v>
      </c>
      <c r="C34" s="41"/>
    </row>
    <row r="35" spans="1:3" ht="14.4" x14ac:dyDescent="0.3">
      <c r="A35" s="8">
        <v>10112</v>
      </c>
      <c r="B35" s="11">
        <v>10116</v>
      </c>
      <c r="C35" s="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Ankit Sonawane</cp:lastModifiedBy>
  <dcterms:created xsi:type="dcterms:W3CDTF">2015-02-10T17:33:11Z</dcterms:created>
  <dcterms:modified xsi:type="dcterms:W3CDTF">2023-12-10T17:37:59Z</dcterms:modified>
</cp:coreProperties>
</file>